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atricard\Documents\Personal\"/>
    </mc:Choice>
  </mc:AlternateContent>
  <xr:revisionPtr revIDLastSave="0" documentId="8_{4248AC82-66A9-452E-8D2C-A3ED51FBB14B}" xr6:coauthVersionLast="47" xr6:coauthVersionMax="47" xr10:uidLastSave="{00000000-0000-0000-0000-000000000000}"/>
  <bookViews>
    <workbookView xWindow="3105" yWindow="1185" windowWidth="23715" windowHeight="12660" xr2:uid="{00000000-000D-0000-FFFF-FFFF00000000}"/>
  </bookViews>
  <sheets>
    <sheet name="ACTIVITYLOG" sheetId="1" r:id="rId1"/>
    <sheet name="dropdow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8" i="1" l="1"/>
  <c r="G11" i="1"/>
  <c r="G15" i="1"/>
  <c r="G6" i="1"/>
  <c r="B28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<sst xmlns="http://schemas.openxmlformats.org/spreadsheetml/2006/main" count="86" uniqueCount="47">
  <si>
    <t>ID</t>
  </si>
  <si>
    <t>timestamp</t>
  </si>
  <si>
    <t>activity</t>
  </si>
  <si>
    <t>type</t>
  </si>
  <si>
    <t>Follow up</t>
  </si>
  <si>
    <t>STATUS</t>
  </si>
  <si>
    <t>REFERENCE ID</t>
  </si>
  <si>
    <t>ETA</t>
  </si>
  <si>
    <t>first day. receiving laptop, appliances and tools</t>
  </si>
  <si>
    <t>LOG</t>
  </si>
  <si>
    <t>Exploring documentation, EasyPlant and TJJV Sharepoints</t>
  </si>
  <si>
    <t>Weekly CSU meeting with Thierry. Open points for INST:
-Vendor certificates for calibration against DS -&gt; assign someone from Inst team
- moisture analyzers only one is purchased, to be moved around the FLNG until Offshore
- functional test plan for SIF (Fabio to prepare document section against FSA3 and IEC requirements)
- FMR for temporary OWS already issued -&gt; follow up receiving status
- update LOTO pins for isolation on PDPs and Control Cabinets -&gt; Syukri
- agreed for INST isolation register with common Excel file
- define personnel that will act as isolation authority in INST TEAM</t>
  </si>
  <si>
    <t>Kickoff meeting with Thierry and Syukri on INST manpower, resources and plans
Topics discussed as below:
1.	Orga / bar charts
-	Orga chart to be prepared based on Annex A4
-	Instrum &amp; Ctrl annex A 4 bar chart shall be adjusted if necessary based on the Orga
-	Target mid August 2026
2.	Procedures TJS -&gt; Vysus FSA3
-	Loop test procedure -&gt; By 31st of July
-	Functional test proc -&gt; By Mid of August 2026 – SIF procedure to be attached to the functional test proc as annex
-	SHI functional test procedure to be recovered from SHI
3.	CSU tools &amp; COM spares purchasing / Tempo HVAC
-	CSU tools -&gt; Clarifications to be completed by 31st of July
-	COM spares are to be ordered to cover until RFSU
-	FMR for spare parts to be issued by end of 2026
-	FMR_CSU &amp; FMR_CSUSP from Coral South to be used as reference 
-	Unpriced POs can be used to find the construction spares
4.	VMRs for Instrum vendors
-	Emerson VMR was issued (field + ICSS) -&gt; Follow up reviews to be initiated
-	VMR for Siemens for the PLCs (trouble shooting &amp; network issues) -&gt; To be proposed
-	Other VMRs -&gt; Only for purely instrumentation systems (packages will be arranged by process/utility teams)
-	Alarm rationalization TBD with Guillaume -&gt; End of August
5.	EP and ITRs B loading
-	EP all digital -&gt; Only ITR B digital, but attachement via filling clecks. PLs are digital also if photos can be added or sent to the PL Coordinator. PL validation by PL coordinator
6.	LOTO, BPO, TPC, trainings &amp; LR
-	LOTO -&gt; to prepare the LOTO register for instrum panels/PDB + assign dedicated personnel
-	Trainings -&gt; Ensure with Orga to define the roles AA, IA, PR, PA, etc …., L2b, IECEx (define Ex002/Ex004) for Ex 001 price will be requested to SHI
-	On boarding slides/training -&gt; To be prepared for the team
-	No requirement for SIF testing competence
-	BPO &amp; TPC -&gt; Structure the process -&gt; Orga to be adjusted
-	LR witnessing approach -&gt; Notification of start of Subsystem (24 hrs in advance)
7.	CCMS &amp; LL analysis and additional CS issues not covered
-	To be check the accesses. Tables to be review along with project progress
8.	Loop folder preparation &amp; EP data base review (including change on AFDS)
-	Hard copies  loop folders / Use auto tool or not / collect/compile documentation / Cross check EP population at the same time
9.	ITR A for verif of calib certs vs data sheets PT &amp; TT
-	Collection of vendor calibration certs -&gt; Assign 1 resource to check cert vs DS
10.	Schedule review
-	CRDs follow latest JV assumptions
-	KPIs provide estimated ITR B workfront in time
-	L1 Schedule with SHI dates provides summary overview</t>
  </si>
  <si>
    <t>update the folder links and share across leads</t>
  </si>
  <si>
    <t>Update folder links from item 4</t>
  </si>
  <si>
    <t>TASK</t>
  </si>
  <si>
    <t>Fabio</t>
  </si>
  <si>
    <t>ASSIGNED</t>
  </si>
  <si>
    <t>Temporary HVAC installation details. mainly for ELE team for now</t>
  </si>
  <si>
    <t>Complete UIR and LAB  Addressable database for EasyPlant</t>
  </si>
  <si>
    <t>Complete TIR Addressable database for EasyPlant</t>
  </si>
  <si>
    <t>Share interactive room layout of the FLNG
to be add to the welcome package for new teams members
- note: drawings to be updated</t>
  </si>
  <si>
    <t>Give Yernar to find new drawings and update item ID 9 - Shiproom layout</t>
  </si>
  <si>
    <t>Yernar</t>
  </si>
  <si>
    <t>Complete BITR-I10 database for Hull to be sent to Completion team</t>
  </si>
  <si>
    <t>sent email to Completion team
NEW B-ITR-I10	ADDRESSABLE FIRE &amp; GAS LOOP TEST to add, and 33 to be removed
This is the recap quantities for ADDRESSABLE LOOPS - B-ITR-I10:
LQ-HULL	2076
TOPSIDE	256
TO BE REMOVED	33
Source: C:\Users\fmatricard\Documents\CoralNorth\BITR-studies</t>
  </si>
  <si>
    <t>Discussed with Guillame missing documentation for Addressable detailed diagrams for Hull/LQ
sent email to SHI (taekyung.ok@samsung.com) for clarification - SHI Autronica addressable wiring
---
Hi TK,
Please could you tell us where to find the detail wiring of the Addressable detectors connected to Autronica system. 
I found something strange in the Wiring Diagram for Instrumentation in Hull – LQ 4424LQDIEH50120, if possible please explain us how it is wired or tell us if there is other documents to refer.</t>
  </si>
  <si>
    <t>wait for 12 August and follow up</t>
  </si>
  <si>
    <t>Task assignment for item 3
- follow up for MAV servers for DeltaV upgrade in Korea 
Emerson ETA 17/18 August</t>
  </si>
  <si>
    <t>Syukri</t>
  </si>
  <si>
    <t>Safety Training - room 3</t>
  </si>
  <si>
    <t>FSA3 requirements and IEC for SIF testing - preparations for Functional test procedure</t>
  </si>
  <si>
    <t>find clause and details in IEC 61511 rev 2016 for SIF testing</t>
  </si>
  <si>
    <t>Complete PIR  Addressable database for EasyPlant</t>
  </si>
  <si>
    <t>Complete SIR  Addressable database for EasyPlant</t>
  </si>
  <si>
    <t>Items to remember for CSU, sent to Thierry
- N2 purge on Diesel GTG lines as permissive for GTG start suring BOR - to be fixed</t>
  </si>
  <si>
    <t>TODO</t>
  </si>
  <si>
    <t>send details to Thierry Guillaume</t>
  </si>
  <si>
    <t>Items to review from CSU as process issues:
- fresh water generators RUPTURE DISKS
- WHRU sequence with GTG startup
- FW and CW MOV valves fault/moving during startup sequence</t>
  </si>
  <si>
    <t>Assign ROSA to study and collect relevant architecture and details for PLC network</t>
  </si>
  <si>
    <t>Rosa</t>
  </si>
  <si>
    <t>Follow up Autronica HULL/LQ reply from SHI</t>
  </si>
  <si>
    <t>fabio</t>
  </si>
  <si>
    <t>TYPE</t>
  </si>
  <si>
    <t>PENDING</t>
  </si>
  <si>
    <t>ONGOING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</si>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</sst>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0" formatCode="General"/>
    </dxf>
    <dxf>
      <numFmt numFmtId="164" formatCode="[$-409]m/d/yy\ h:mm\ AM/PM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A0A98-5260-4D2A-ABDA-0E7994C2200E}" name="Table1" displayName="Table1" ref="A1:H28" totalsRowShown="0">
  <autoFilter ref="A1:H28" xr:uid="{35BA0A98-5260-4D2A-ABDA-0E7994C2200E}"/>
  <tableColumns count="8">
    <tableColumn id="1" xr3:uid="{A82910F4-35B8-4400-BD45-319234630C39}" name="ID"/>
    <tableColumn id="2" xr3:uid="{52C12400-E89E-4B81-94BB-0EE95017A325}" name="timestamp" dataDxfId="2">
      <calculatedColumnFormula>NOW()</calculatedColumnFormula>
    </tableColumn>
    <tableColumn id="3" xr3:uid="{E7A33AA9-544A-4AB5-A6A5-BC57415B7F93}" name="activity"/>
    <tableColumn id="4" xr3:uid="{2C1C3B63-5D5E-42C2-BD97-897362BDA6E1}" name="type"/>
    <tableColumn id="5" xr3:uid="{950F880D-D38C-4042-8736-123BC01C7E33}" name="Follow up"/>
    <tableColumn id="6" xr3:uid="{28097BE8-EB83-4EC5-919E-A7A8A8BE9BEB}" name="STATUS"/>
    <tableColumn id="7" xr3:uid="{32F73311-BBAE-4DD7-9634-7ABF7755DB03}" name="REFERENCE ID" dataDxfId="1">
      <calculatedColumnFormula>A1</calculatedColumnFormula>
    </tableColumn>
    <tableColumn id="8" xr3:uid="{E2C14395-DC6D-4521-AEB2-5E87FEF76929}" name="ET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6" workbookViewId="0">
      <selection activeCell="C18" sqref="C18"/>
    </sheetView>
  </sheetViews>
  <sheetFormatPr defaultRowHeight="15" x14ac:dyDescent="0.25"/>
  <cols>
    <col min="2" max="2" width="19" customWidth="1"/>
    <col min="3" max="3" width="107.7109375" customWidth="1"/>
    <col min="4" max="4" width="9.85546875" customWidth="1"/>
    <col min="5" max="5" width="25.7109375" customWidth="1"/>
    <col min="6" max="6" width="11.5703125" customWidth="1"/>
    <col min="7" max="7" width="15.85546875" customWidth="1"/>
    <col min="8" max="8" width="10.42578125" style="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</row>
    <row r="2" spans="1:8" x14ac:dyDescent="0.25">
      <c r="A2">
        <v>1</v>
      </c>
      <c r="B2" s="1">
        <v>46230.333333333336</v>
      </c>
      <c r="C2" t="s">
        <v>8</v>
      </c>
      <c r="D2" t="s">
        <v>9</v>
      </c>
      <c r="F2" t="s">
        <v>9</v>
      </c>
    </row>
    <row r="3" spans="1:8" x14ac:dyDescent="0.25">
      <c r="A3">
        <f>A2+1</f>
        <v>2</v>
      </c>
      <c r="B3" s="1">
        <v>46230.541666666664</v>
      </c>
      <c r="C3" t="s">
        <v>10</v>
      </c>
      <c r="D3" t="s">
        <v>9</v>
      </c>
      <c r="F3" t="s">
        <v>9</v>
      </c>
    </row>
    <row r="4" spans="1:8" ht="120" x14ac:dyDescent="0.25">
      <c r="A4">
        <f t="shared" ref="A4:A28" si="0">A3+1</f>
        <v>3</v>
      </c>
      <c r="B4" s="1">
        <v>46231.541666666664</v>
      </c>
      <c r="C4" s="2" t="s">
        <v>11</v>
      </c>
      <c r="D4" t="s">
        <v>9</v>
      </c>
      <c r="F4" t="s">
        <v>9</v>
      </c>
    </row>
    <row r="5" spans="1:8" ht="409.6" x14ac:dyDescent="0.25">
      <c r="A5">
        <f t="shared" si="0"/>
        <v>4</v>
      </c>
      <c r="B5" s="1">
        <v>46232.541666666664</v>
      </c>
      <c r="C5" s="3" t="s">
        <v>12</v>
      </c>
      <c r="D5" t="s">
        <v>9</v>
      </c>
      <c r="E5" s="2" t="s">
        <v>13</v>
      </c>
      <c r="F5" t="s">
        <v>9</v>
      </c>
    </row>
    <row r="6" spans="1:8" x14ac:dyDescent="0.25">
      <c r="A6">
        <f t="shared" si="0"/>
        <v>5</v>
      </c>
      <c r="B6" s="1">
        <v>46232.659722222219</v>
      </c>
      <c r="C6" s="2" t="s">
        <v>14</v>
      </c>
      <c r="D6" t="s">
        <v>15</v>
      </c>
      <c r="E6" s="2" t="s">
        <v>16</v>
      </c>
      <c r="F6" t="s">
        <v>17</v>
      </c>
      <c r="G6">
        <f t="shared" ref="G6" si="1">A5</f>
        <v>4</v>
      </c>
      <c r="H6" s="4">
        <v>46254</v>
      </c>
    </row>
    <row r="7" spans="1:8" x14ac:dyDescent="0.25">
      <c r="A7">
        <f t="shared" si="0"/>
        <v>6</v>
      </c>
      <c r="B7" s="1">
        <v>46232.666666666664</v>
      </c>
      <c r="C7" t="s">
        <v>18</v>
      </c>
      <c r="D7" t="s">
        <v>9</v>
      </c>
      <c r="F7" t="s">
        <v>9</v>
      </c>
    </row>
    <row r="8" spans="1:8" x14ac:dyDescent="0.25">
      <c r="A8">
        <f t="shared" si="0"/>
        <v>7</v>
      </c>
      <c r="B8" s="1">
        <v>46233.333333333336</v>
      </c>
      <c r="C8" t="s">
        <v>19</v>
      </c>
      <c r="D8" t="s">
        <v>9</v>
      </c>
      <c r="F8" t="s">
        <v>9</v>
      </c>
    </row>
    <row r="9" spans="1:8" x14ac:dyDescent="0.25">
      <c r="A9">
        <f t="shared" si="0"/>
        <v>8</v>
      </c>
      <c r="B9" s="1">
        <v>46233.541666666664</v>
      </c>
      <c r="C9" t="s">
        <v>20</v>
      </c>
      <c r="D9" t="s">
        <v>9</v>
      </c>
      <c r="F9" t="s">
        <v>9</v>
      </c>
    </row>
    <row r="10" spans="1:8" ht="45" x14ac:dyDescent="0.25">
      <c r="A10">
        <f t="shared" si="0"/>
        <v>9</v>
      </c>
      <c r="B10" s="1">
        <v>46233.625</v>
      </c>
      <c r="C10" s="2" t="s">
        <v>21</v>
      </c>
      <c r="D10" t="s">
        <v>9</v>
      </c>
      <c r="F10" t="s">
        <v>9</v>
      </c>
    </row>
    <row r="11" spans="1:8" x14ac:dyDescent="0.25">
      <c r="A11">
        <f t="shared" si="0"/>
        <v>10</v>
      </c>
      <c r="B11" s="1">
        <v>46233.666666666664</v>
      </c>
      <c r="C11" t="s">
        <v>22</v>
      </c>
      <c r="D11" t="s">
        <v>15</v>
      </c>
      <c r="E11" t="s">
        <v>23</v>
      </c>
      <c r="G11">
        <f>A10</f>
        <v>9</v>
      </c>
      <c r="H11" s="4">
        <v>46263</v>
      </c>
    </row>
    <row r="12" spans="1:8" x14ac:dyDescent="0.25">
      <c r="A12">
        <f t="shared" si="0"/>
        <v>11</v>
      </c>
      <c r="B12" s="1">
        <v>46234.333333333336</v>
      </c>
      <c r="C12" t="s">
        <v>24</v>
      </c>
    </row>
    <row r="13" spans="1:8" ht="120" x14ac:dyDescent="0.25">
      <c r="A13">
        <f t="shared" si="0"/>
        <v>12</v>
      </c>
      <c r="B13" s="1">
        <v>46234.625</v>
      </c>
      <c r="C13" s="2" t="s">
        <v>25</v>
      </c>
    </row>
    <row r="14" spans="1:8" ht="105" x14ac:dyDescent="0.25">
      <c r="A14">
        <f t="shared" si="0"/>
        <v>13</v>
      </c>
      <c r="B14" s="1">
        <v>46234.666666666664</v>
      </c>
      <c r="C14" s="2" t="s">
        <v>26</v>
      </c>
      <c r="D14" t="s">
        <v>9</v>
      </c>
      <c r="E14" s="2" t="s">
        <v>27</v>
      </c>
      <c r="H14" s="4">
        <v>46262</v>
      </c>
    </row>
    <row r="15" spans="1:8" ht="45" x14ac:dyDescent="0.25">
      <c r="A15">
        <f t="shared" si="0"/>
        <v>14</v>
      </c>
      <c r="B15" s="1">
        <v>46237.359896527778</v>
      </c>
      <c r="C15" s="2" t="s">
        <v>28</v>
      </c>
      <c r="D15" t="s">
        <v>15</v>
      </c>
      <c r="E15" t="s">
        <v>29</v>
      </c>
      <c r="G15">
        <f>A4</f>
        <v>3</v>
      </c>
    </row>
    <row r="16" spans="1:8" x14ac:dyDescent="0.25">
      <c r="A16">
        <f t="shared" si="0"/>
        <v>15</v>
      </c>
      <c r="B16" s="1">
        <v>46237.41684027778</v>
      </c>
      <c r="C16" t="s">
        <v>30</v>
      </c>
      <c r="D16" t="s">
        <v>9</v>
      </c>
      <c r="F16" t="s">
        <v>9</v>
      </c>
    </row>
    <row r="17" spans="1:8" x14ac:dyDescent="0.25">
      <c r="A17">
        <f t="shared" si="0"/>
        <v>16</v>
      </c>
      <c r="B17" s="1">
        <v>46237.54184027778</v>
      </c>
      <c r="C17" t="s">
        <v>31</v>
      </c>
      <c r="D17" t="s">
        <v>9</v>
      </c>
      <c r="F17" t="s">
        <v>9</v>
      </c>
    </row>
    <row r="18" spans="1:8" x14ac:dyDescent="0.25">
      <c r="A18">
        <f t="shared" si="0"/>
        <v>17</v>
      </c>
      <c r="B18" s="1">
        <v>46237.625173611108</v>
      </c>
      <c r="C18" t="s">
        <v>32</v>
      </c>
      <c r="D18" t="s">
        <v>9</v>
      </c>
      <c r="F18" t="s">
        <v>9</v>
      </c>
    </row>
    <row r="19" spans="1:8" x14ac:dyDescent="0.25">
      <c r="A19">
        <f t="shared" si="0"/>
        <v>18</v>
      </c>
      <c r="B19" s="1">
        <v>46238.359895833331</v>
      </c>
    </row>
    <row r="20" spans="1:8" x14ac:dyDescent="0.25">
      <c r="A20">
        <f t="shared" si="0"/>
        <v>19</v>
      </c>
      <c r="B20" s="1">
        <v>46238.41684027778</v>
      </c>
    </row>
    <row r="21" spans="1:8" x14ac:dyDescent="0.25">
      <c r="A21">
        <f t="shared" si="0"/>
        <v>20</v>
      </c>
      <c r="B21" s="1">
        <v>46238.54184027778</v>
      </c>
    </row>
    <row r="22" spans="1:8" x14ac:dyDescent="0.25">
      <c r="A22">
        <f t="shared" si="0"/>
        <v>21</v>
      </c>
      <c r="B22" s="1">
        <v>46238.625173611108</v>
      </c>
    </row>
    <row r="23" spans="1:8" x14ac:dyDescent="0.25">
      <c r="A23">
        <f t="shared" si="0"/>
        <v>22</v>
      </c>
      <c r="B23" s="1">
        <v>46231.333333333336</v>
      </c>
      <c r="C23" t="s">
        <v>33</v>
      </c>
      <c r="D23" t="s">
        <v>9</v>
      </c>
      <c r="F23" t="s">
        <v>9</v>
      </c>
    </row>
    <row r="24" spans="1:8" x14ac:dyDescent="0.25">
      <c r="A24">
        <f t="shared" si="0"/>
        <v>23</v>
      </c>
      <c r="B24" s="1">
        <v>46232.333333333336</v>
      </c>
      <c r="C24" t="s">
        <v>34</v>
      </c>
      <c r="D24" t="s">
        <v>9</v>
      </c>
      <c r="F24" t="s">
        <v>9</v>
      </c>
    </row>
    <row r="25" spans="1:8" ht="30" x14ac:dyDescent="0.25">
      <c r="A25">
        <f t="shared" si="0"/>
        <v>24</v>
      </c>
      <c r="B25" s="1">
        <v>46237.375173611108</v>
      </c>
      <c r="C25" s="2" t="s">
        <v>35</v>
      </c>
      <c r="D25" t="s">
        <v>36</v>
      </c>
      <c r="E25" s="2" t="s">
        <v>37</v>
      </c>
      <c r="H25" s="4">
        <v>46262</v>
      </c>
    </row>
    <row r="26" spans="1:8" ht="60" x14ac:dyDescent="0.25">
      <c r="A26">
        <f t="shared" si="0"/>
        <v>25</v>
      </c>
      <c r="B26" s="1">
        <v>46237.401562500003</v>
      </c>
      <c r="C26" s="2" t="s">
        <v>38</v>
      </c>
      <c r="D26" t="s">
        <v>36</v>
      </c>
      <c r="E26" s="2" t="s">
        <v>37</v>
      </c>
    </row>
    <row r="27" spans="1:8" x14ac:dyDescent="0.25">
      <c r="A27">
        <f t="shared" si="0"/>
        <v>26</v>
      </c>
      <c r="B27" s="1">
        <v>46237.47934027778</v>
      </c>
      <c r="C27" t="s">
        <v>39</v>
      </c>
      <c r="D27" t="s">
        <v>15</v>
      </c>
      <c r="E27" t="s">
        <v>40</v>
      </c>
    </row>
    <row r="28" spans="1:8" x14ac:dyDescent="0.25">
      <c r="A28">
        <f t="shared" si="0"/>
        <v>27</v>
      </c>
      <c r="B28" s="1">
        <f t="shared" ref="B28" ca="1" si="2">NOW()</f>
        <v>46237.501304282407</v>
      </c>
      <c r="C28" t="s">
        <v>41</v>
      </c>
      <c r="D28" t="s">
        <v>15</v>
      </c>
      <c r="E28" t="s">
        <v>42</v>
      </c>
      <c r="F28" t="s">
        <v>17</v>
      </c>
      <c r="G28">
        <f>A14</f>
        <v>13</v>
      </c>
      <c r="H28" s="4">
        <v>46246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6F9C27-8CE8-4EFE-879D-B17B29AC6B94}">
          <x14:formula1>
            <xm:f>dropdowns!$A$2:$A$4</xm:f>
          </x14:formula1>
          <xm:sqref>D2:D28</xm:sqref>
        </x14:dataValidation>
        <x14:dataValidation type="list" allowBlank="1" showInputMessage="1" showErrorMessage="1" xr:uid="{59A5A6AF-FEE6-41F6-AD95-7B23AAF57401}">
          <x14:formula1>
            <xm:f>dropdowns!$B$2:$B$6</xm:f>
          </x14:formula1>
          <xm:sqref>F2:F28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685A-00B0-4F0D-9B37-187FA4719886}">
  <dimension ref="A1:B6"/>
  <sheetViews>
    <sheetView workbookViewId="0">
      <selection activeCell="B7" sqref="B7"/>
    </sheetView>
  </sheetViews>
  <sheetFormatPr defaultRowHeight="15" x14ac:dyDescent="0.25"/>
  <sheetData>
    <row r="1" spans="1:2" x14ac:dyDescent="0.25">
      <c r="A1" t="s">
        <v>43</v>
      </c>
      <c r="B1" t="s">
        <v>5</v>
      </c>
    </row>
    <row r="2" spans="1:2" x14ac:dyDescent="0.25">
      <c r="A2" t="s">
        <v>9</v>
      </c>
      <c r="B2" t="s">
        <v>44</v>
      </c>
    </row>
    <row r="3" spans="1:2" x14ac:dyDescent="0.25">
      <c r="A3" t="s">
        <v>36</v>
      </c>
      <c r="B3" t="s">
        <v>17</v>
      </c>
    </row>
    <row r="4" spans="1:2" x14ac:dyDescent="0.25">
      <c r="A4" t="s">
        <v>15</v>
      </c>
      <c r="B4" t="s">
        <v>45</v>
      </c>
    </row>
    <row r="5" spans="1:2" x14ac:dyDescent="0.25">
      <c r="B5" t="s">
        <v>46</v>
      </c>
    </row>
    <row r="6" spans="1:2" x14ac:dyDescent="0.25">
      <c r="B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46ae1-8b77-4503-91f8-b06f2a1ec941">
      <Terms xmlns="http://schemas.microsoft.com/office/infopath/2007/PartnerControls"/>
    </lcf76f155ced4ddcb4097134ff3c332f>
    <TaxCatchAll xmlns="0118cf8d-5e8d-47a6-b758-daac9c9c6e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D127CE86BD64A9FC70480425FED37" ma:contentTypeVersion="13" ma:contentTypeDescription="Create a new document." ma:contentTypeScope="" ma:versionID="33f6da76f055fcf4d889b7d9ee5d56c5">
  <xsd:schema xmlns:xsd="http://www.w3.org/2001/XMLSchema" xmlns:xs="http://www.w3.org/2001/XMLSchema" xmlns:p="http://schemas.microsoft.com/office/2006/metadata/properties" xmlns:ns2="cf146ae1-8b77-4503-91f8-b06f2a1ec941" xmlns:ns3="0118cf8d-5e8d-47a6-b758-daac9c9c6ebc" targetNamespace="http://schemas.microsoft.com/office/2006/metadata/properties" ma:root="true" ma:fieldsID="963306262a4d5bd6cf867c47d95ac788" ns2:_="" ns3:_="">
    <xsd:import namespace="cf146ae1-8b77-4503-91f8-b06f2a1ec941"/>
    <xsd:import namespace="0118cf8d-5e8d-47a6-b758-daac9c9c6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46ae1-8b77-4503-91f8-b06f2a1ec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ba705f5-bda6-441a-9f50-af094dc5e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8cf8d-5e8d-47a6-b758-daac9c9c6eb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d55dc45-ce3e-4908-8be9-3db9bd6ce807}" ma:internalName="TaxCatchAll" ma:showField="CatchAllData" ma:web="0118cf8d-5e8d-47a6-b758-daac9c9c6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43206C-DB95-4BA6-9DDB-2EF9AAF0DC2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purl.org/dc/terms/"/>
    <ds:schemaRef ds:uri="0118cf8d-5e8d-47a6-b758-daac9c9c6ebc"/>
    <ds:schemaRef ds:uri="cf146ae1-8b77-4503-91f8-b06f2a1ec94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3C8A2DA-51CA-499C-AAF7-939F3325A0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557A2-C8D4-4D27-877A-50890C1CE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46ae1-8b77-4503-91f8-b06f2a1ec941"/>
    <ds:schemaRef ds:uri="0118cf8d-5e8d-47a6-b758-daac9c9c6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ACTIVITYLOG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Matricardi-External</dc:creator>
  <cp:keywords/>
  <dc:description/>
  <cp:lastModifiedBy>Fabio Matricardi-External</cp:lastModifiedBy>
  <cp:revision/>
  <dcterms:created xsi:type="dcterms:W3CDTF">2026-08-02T23:35:54Z</dcterms:created>
  <dcterms:modified xsi:type="dcterms:W3CDTF">2026-08-03T03:02:24Z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0x0101002EBD127CE86BD64A9FC70480425FED37</vt:lpwstr>
  </property>
  <property fmtid="{D5CDD505-2E9C-101B-9397-08002B2CF9AE}" pid="3" name="MediaServiceImageTags">
    <vt:lpwstr/>
  </property>
</Properties>
</file>